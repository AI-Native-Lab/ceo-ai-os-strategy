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ang Offer" sheetId="1" state="visible" r:id="rId3"/>
    <sheet name="Mô hình phễu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<sst xmlns="http://schemas.openxmlformats.org/spreadsheetml/2006/main" count="124" uniqueCount="111">
  <si>
    <t xml:space="preserve">CEO AI OS — OFFER LADDER v2.7 FINAL (nội bộ · 12/06/2026 · nguồn: docs/offer/offer_ladder_v2.md)</t>
  </si>
  <si>
    <t xml:space="preserve">Tầng</t>
  </si>
  <si>
    <t xml:space="preserve">Tên gói</t>
  </si>
  <si>
    <t xml:space="preserve">Giá (VND)</t>
  </si>
  <si>
    <t xml:space="preserve">Mô hình</t>
  </si>
  <si>
    <t xml:space="preserve">Giao gì</t>
  </si>
  <si>
    <t xml:space="preserve">Vai trò money model</t>
  </si>
  <si>
    <t xml:space="preserve">Guarantee</t>
  </si>
  <si>
    <t xml:space="preserve">Upsell / Downsell gắn kèm</t>
  </si>
  <si>
    <t xml:space="preserve">Credit khi nâng cấp</t>
  </si>
  <si>
    <t xml:space="preserve">T0</t>
  </si>
  <si>
    <t xml:space="preserve">FREE</t>
  </si>
  <si>
    <t xml:space="preserve">Lead magnet</t>
  </si>
  <si>
    <t xml:space="preserve">PDF cài Hermes + tips 9Router · ebook/template · content 70/30 · webinar Tư (replay = proof) · free community</t>
  </si>
  <si>
    <t xml:space="preserve">Câu khách, tạo list. Webinar: FOMO → demo 'tự cài vướng gì' → bán T1/T2. Community = hồ chứa lead + nơi downsell đổ về</t>
  </si>
  <si>
    <t xml:space="preserve">—</t>
  </si>
  <si>
    <t xml:space="preserve">Upsell: T1/T2 ngay trong webinar</t>
  </si>
  <si>
    <t xml:space="preserve">T1</t>
  </si>
  <si>
    <t xml:space="preserve">Engine Pack — Setup Hermes Agent</t>
  </si>
  <si>
    <t xml:space="preserve">DIY</t>
  </si>
  <si>
    <t xml:space="preserve">PDF Guide set up Hermes agent + 9Router + SSH Agent + Telegram topic · update · kênh hỏi đáp &amp; community support</t>
  </si>
  <si>
    <t xml:space="preserve">Lọc buyer + decoy: chạy được nhưng chưa có phòng ban → tự muốn lên T2</t>
  </si>
  <si>
    <t xml:space="preserve">Upsell: T2 (decoy tự nhiên)</t>
  </si>
  <si>
    <t xml:space="preserve">Trừ 250k khi lên T2</t>
  </si>
  <si>
    <t xml:space="preserve">T2</t>
  </si>
  <si>
    <t xml:space="preserve">CEO AI OS Starter</t>
  </si>
  <si>
    <t xml:space="preserve">DIY (gói chốt volume)</t>
  </si>
  <si>
    <t xml:space="preserve">1-click setup: distribution 'Startup' có chứa script set up · hướng dẫn tạo Telegram group với các topic phòng ban · default skill Google Workspace CLI</t>
  </si>
  <si>
    <t xml:space="preserve">Cash + WOW. Mua xong → email access TỰ ĐỘNG (payment + auto-provisioning)</t>
  </si>
  <si>
    <t xml:space="preserve">24h chưa chạy → cài giúp remote; vẫn không → hoàn 100%</t>
  </si>
  <si>
    <t xml:space="preserve">Upsell tại checkout: Starter Plus 2tr. Downsell: membership/free community</t>
  </si>
  <si>
    <t xml:space="preserve">Trừ 500k khi lên T3</t>
  </si>
  <si>
    <t xml:space="preserve">T2+</t>
  </si>
  <si>
    <t xml:space="preserve">CEO AI OS Starter Plus</t>
  </si>
  <si>
    <t xml:space="preserve">Add-on checkout</t>
  </si>
  <si>
    <t xml:space="preserve">Bộ startup kit (offer, customer persona, customer journey, customer business development) · bộ skill dựa trên bộ official 31 skills for small business của Anthropic, gồm skill human-writing với 3 giọng văn · AI Mentor (kỹ thuật sử dụng AI) · 3 Business Mentor · format: PDF + tutorial video quay sẵn</t>
  </si>
  <si>
    <t xml:space="preserve">Tăng AOV ngay tại checkout, benchmark 20–30% khách T2. Managed hosting: ĐỂ SAU</t>
  </si>
  <si>
    <t xml:space="preserve">Trừ 2tr khi lên T3.5</t>
  </si>
  <si>
    <t xml:space="preserve">T3</t>
  </si>
  <si>
    <t xml:space="preserve">CEO AI OS Workshop</t>
  </si>
  <si>
    <t xml:space="preserve">Hands-on install (tầng đầu có HUMAN)</t>
  </si>
  <si>
    <t xml:space="preserve">Hỗ trợ set up + education + dạy add skill + sử dụng sao cho hiệu quả · suất giới hạn thật (20 người/đợt) · format: workshop OFFLINE · BAO GỒM T2+ · nhóm Telegram support sau workshop</t>
  </si>
  <si>
    <t xml:space="preserve">Tiếp xúc trực tiếp với team lần đầu. Bao gồm T2+ (không gồm T2 — Starter mua riêng; giá cho người đã có T2/T2+: cần chốt). Mời lại nhóm workshop cũ để update + upsell</t>
  </si>
  <si>
    <t xml:space="preserve">Ra về chưa có hệ thống chạy → hoàn 100% tại chỗ</t>
  </si>
  <si>
    <t xml:space="preserve">Upsell: CEO AI OS Pro và CEO AI OS Companion. Downsell: recording + group Q&amp;A 500k</t>
  </si>
  <si>
    <t xml:space="preserve">Trừ 4tr khi lên T4a</t>
  </si>
  <si>
    <t xml:space="preserve">T3.5</t>
  </si>
  <si>
    <t xml:space="preserve">CEO AI OS Pro</t>
  </si>
  <si>
    <t xml:space="preserve">Done-with-you</t>
  </si>
  <si>
    <t xml:space="preserve">2 buổi online call cài cùng + tune theo doanh nghiệp (2h/buổi) · tổ chức Agent phòng ban đúng cơ cấu · 3 use case: 2 mình define + 1 khách đề xuất · 14 ngày đồng hành</t>
  </si>
  <si>
    <t xml:space="preserve">Lấp hố giá 4tr→80tr; đón khách workshop 'vẫn phải tự làm'</t>
  </si>
  <si>
    <t xml:space="preserve">3 use case chạy thật trong 14 ngày, không đạt → +30 ngày hỗ trợ miễn phí</t>
  </si>
  <si>
    <t xml:space="preserve">Upsell: Companion khi cần DFY toàn phần</t>
  </si>
  <si>
    <t xml:space="preserve">Trừ 30tr khi lên T4b</t>
  </si>
  <si>
    <t xml:space="preserve">T4a</t>
  </si>
  <si>
    <t xml:space="preserve">CEO AI OS COMPANION 70tr (GÓI CHỐT)</t>
  </si>
  <si>
    <t xml:space="preserve">Done-for-you</t>
  </si>
  <si>
    <t xml:space="preserve">Full setup: phòng ban chuẩn · 5 use case: 3 mình define + 2 khách đề xuất · Mentor AI tuned · training 2 buổi · skill và workflow advanced · 30 ngày tối ưu</t>
  </si>
  <si>
    <t xml:space="preserve">Justify 30tr→70tr = 5 use case + mentor tuned + advanced skills/workflows. Mục tiêu ~3 khách gói cao/tháng</t>
  </si>
  <si>
    <t xml:space="preserve">Anchor bằng gói 100tr</t>
  </si>
  <si>
    <t xml:space="preserve">T4b</t>
  </si>
  <si>
    <t xml:space="preserve">CEO AI OS COMPANION 100tr (ANCHOR + TEAM)</t>
  </si>
  <si>
    <t xml:space="preserve">Done-for-you + retainer</t>
  </si>
  <si>
    <t xml:space="preserve">Companion 70 + tính năng cho đội nhóm: governance/phân quyền · tích hợp các công cụ đang dùng (CRM/Sheets/web nội bộ) · Agent team · Auto dev tool (package để dev nội bộ tự tạo tool nội bộ, tự cải thiện chính Hermes) · retainer 3 tháng</t>
  </si>
  <si>
    <t xml:space="preserve">Anchor giá cho gói 70tr; gói duy nhất có team features + auto dev tool</t>
  </si>
  <si>
    <t xml:space="preserve">M</t>
  </si>
  <si>
    <t xml:space="preserve">Membership tháng — LAUNCH 1 GÓI (tên cần đặt)</t>
  </si>
  <si>
    <t xml:space="preserve">Continuity (monthly) — chốt 12/06: làm thử 1 gói dễ trước</t>
  </si>
  <si>
    <t xml:space="preserve">Khóa học riêng cho member · kho recording sự kiện/webinar · template + PDF mới hằng tháng · kênh chat riêng · giảm giá sản phẩm (CẦN CHỐT: sản phẩm nào + mức giảm — đề xuất chỉ T1/T2/T2+/T3 + skill lẻ; KHÔNG áp Pro/Premium)</t>
  </si>
  <si>
    <t xml:space="preserve">Continuity đáy thang, chi phí biên ~0. Downsell khi upsell trượt. 3 tier 129/299/499k = ROADMAP, mở khi gói 1 chạy ổn. Nhịp tối thiểu 1 event + 1 Q&amp;A + 1 template/tháng</t>
  </si>
  <si>
    <t xml:space="preserve">Hủy bất cứ lúc nào</t>
  </si>
  <si>
    <t xml:space="preserve">Thanh toán recurring</t>
  </si>
  <si>
    <t xml:space="preserve">ĐỈNH</t>
  </si>
  <si>
    <t xml:space="preserve">Success Club</t>
  </si>
  <si>
    <t xml:space="preserve">Continuity (yearly)</t>
  </si>
  <si>
    <t xml:space="preserve">All-access TOÀN hệ sinh thái AI Native Lab 1 năm: CEO AI OS + mọi khóa học/template/công cụ + ưu tiên hỗ trợ + monthly consulting</t>
  </si>
  <si>
    <t xml:space="preserve">Đỉnh thang, LTGP. Bán 1-1 sau demo/Premium, KHÔNG đại trà. Premium = 'làm CEO AI OS cho bạn', Club = 'mọi thứ + tư vấn'</t>
  </si>
  <si>
    <t xml:space="preserve">Anchor nội bộ: cộng lẻ đắt hơn nhiều</t>
  </si>
  <si>
    <t xml:space="preserve">Ghi chú: tên sản phẩm CEO AI OS (đổi từ OPC OS, 12/06). Quy tắc copy khách hàng: KHÔNG nhắc Hermes/Telegram/VPS/repo/script — dịch sang ngôn ngữ business (Starter Distribution, các phòng ban, one-click setup).</t>
  </si>
  <si>
    <t xml:space="preserve">MÔ HÌNH PHỄU 30 NGÀY — số xanh là giả định (benchmark, CẦN ĐO THẬT), sửa để chạy kịch bản</t>
  </si>
  <si>
    <t xml:space="preserve">GIẢ ĐỊNH</t>
  </si>
  <si>
    <t xml:space="preserve">Lead vào webinar / tháng</t>
  </si>
  <si>
    <t xml:space="preserve">Webinar → mua T2</t>
  </si>
  <si>
    <t xml:space="preserve">T2 → T2+ (upsell trang bán)</t>
  </si>
  <si>
    <t xml:space="preserve">T2 → lên T3 workshop</t>
  </si>
  <si>
    <t xml:space="preserve">Từ chối T3 → nhận downsell 500k</t>
  </si>
  <si>
    <t xml:space="preserve">Workshop → lên Pro</t>
  </si>
  <si>
    <t xml:space="preserve">CAC / khách T2 (VND)</t>
  </si>
  <si>
    <t xml:space="preserve">KẾT QUẢ (công thức — tự tính lại khi đổi giả định)</t>
  </si>
  <si>
    <t xml:space="preserve">Dòng tiền</t>
  </si>
  <si>
    <t xml:space="preserve">Số khách</t>
  </si>
  <si>
    <t xml:space="preserve">Doanh thu (VND)</t>
  </si>
  <si>
    <t xml:space="preserve">Khách T2 Starter</t>
  </si>
  <si>
    <t xml:space="preserve">T2+ (upsell trang bán)</t>
  </si>
  <si>
    <t xml:space="preserve">Lên T3 workshop</t>
  </si>
  <si>
    <t xml:space="preserve">Downsell T3 (recording+Q&amp;A)</t>
  </si>
  <si>
    <t xml:space="preserve">Lên Pro (30tr — giá mới 12/06)</t>
  </si>
  <si>
    <t xml:space="preserve">TỔNG THU 30 NGÀY</t>
  </si>
  <si>
    <t xml:space="preserve">Tổng CAC (khách T2 × CAC)</t>
  </si>
  <si>
    <t xml:space="preserve">Thu 30 ngày / CAC (mục tiêu &gt; 2x)</t>
  </si>
  <si>
    <t xml:space="preserve">MRR — OPC INSIDERS (membership tháng, CHỜ TEAM XÁC NHẬN)</t>
  </si>
  <si>
    <t xml:space="preserve">Lead free → thành member / tháng</t>
  </si>
  <si>
    <t xml:space="preserve">Tỉ trọng Member 129k</t>
  </si>
  <si>
    <t xml:space="preserve">Tỉ trọng Insider 299k</t>
  </si>
  <si>
    <t xml:space="preserve">Tỉ trọng VIP 499k</t>
  </si>
  <si>
    <t xml:space="preserve">Churn / tháng</t>
  </si>
  <si>
    <t xml:space="preserve">Member mới / tháng</t>
  </si>
  <si>
    <t xml:space="preserve">Member ổn định (mới / churn)</t>
  </si>
  <si>
    <t xml:space="preserve">ARPU bình quân (VND/tháng)</t>
  </si>
  <si>
    <t xml:space="preserve">MRR ổn định (VND/tháng)</t>
  </si>
  <si>
    <t xml:space="preserve">Chưa gồm: T1 250k, Premium 50–100tr, Success Club 200tr/năm (bán 1-1, tần suất thấp — cộng riêng khi có deal). Benchmark nguồn: offer_ladder_v2.md mục 8; mọi số membership là giả định cần đo thật.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</si>
</sst>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"/>
    <numFmt numFmtId="167" formatCode="0.0%"/>
    <numFmt numFmtId="168" formatCode="#,##0"/>
    <numFmt numFmtId="169" formatCode="0.0"/>
    <numFmt numFmtId="170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2F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2"/>
      <color rgb="FF1A2F55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2F55"/>
        <bgColor rgb="FF333333"/>
      </patternFill>
    </fill>
    <fill>
      <patternFill patternType="solid">
        <fgColor rgb="FFEDF3FA"/>
        <bgColor rgb="FFFFFFFF"/>
      </patternFill>
    </fill>
    <fill>
      <patternFill patternType="solid">
        <fgColor rgb="FFFFF7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E2"/>
      </left>
      <right style="thin">
        <color rgb="FFC9D4E2"/>
      </right>
      <top style="thin">
        <color rgb="FFC9D4E2"/>
      </top>
      <bottom style="thin">
        <color rgb="FFC9D4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EDF3FA"/>
      <rgbColor rgb="FF660066"/>
      <rgbColor rgb="FFFF8080"/>
      <rgbColor rgb="FF0066CC"/>
      <rgbColor rgb="FFC9D4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1A2F5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9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32"/>
    <col collapsed="false" customWidth="true" hidden="false" outlineLevel="0" max="8" min="8" style="0" width="38"/>
    <col collapsed="false" customWidth="true" hidden="false" outlineLevel="0" max="9" min="9" style="0" width="18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35.05" hidden="false" customHeight="false" outlineLevel="0" collapsed="false">
      <c r="A4" s="3" t="s">
        <v>10</v>
      </c>
      <c r="B4" s="3" t="s">
        <v>11</v>
      </c>
      <c r="C4" s="4" t="n">
        <v>0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15</v>
      </c>
    </row>
    <row r="5" customFormat="false" ht="23.85" hidden="false" customHeight="false" outlineLevel="0" collapsed="false">
      <c r="A5" s="6" t="s">
        <v>17</v>
      </c>
      <c r="B5" s="6" t="s">
        <v>18</v>
      </c>
      <c r="C5" s="7" t="n">
        <v>250000</v>
      </c>
      <c r="D5" s="8" t="s">
        <v>19</v>
      </c>
      <c r="E5" s="8" t="s">
        <v>20</v>
      </c>
      <c r="F5" s="8" t="s">
        <v>21</v>
      </c>
      <c r="G5" s="8" t="s">
        <v>15</v>
      </c>
      <c r="H5" s="8" t="s">
        <v>22</v>
      </c>
      <c r="I5" s="8" t="s">
        <v>23</v>
      </c>
    </row>
    <row r="6" customFormat="false" ht="35.05" hidden="false" customHeight="false" outlineLevel="0" collapsed="false">
      <c r="A6" s="3" t="s">
        <v>24</v>
      </c>
      <c r="B6" s="3" t="s">
        <v>25</v>
      </c>
      <c r="C6" s="4" t="n">
        <v>500000</v>
      </c>
      <c r="D6" s="5" t="s">
        <v>26</v>
      </c>
      <c r="E6" s="5" t="s">
        <v>27</v>
      </c>
      <c r="F6" s="5" t="s">
        <v>28</v>
      </c>
      <c r="G6" s="5" t="s">
        <v>29</v>
      </c>
      <c r="H6" s="5" t="s">
        <v>30</v>
      </c>
      <c r="I6" s="5" t="s">
        <v>31</v>
      </c>
    </row>
    <row r="7" customFormat="false" ht="57.45" hidden="false" customHeight="false" outlineLevel="0" collapsed="false">
      <c r="A7" s="6" t="s">
        <v>32</v>
      </c>
      <c r="B7" s="6" t="s">
        <v>33</v>
      </c>
      <c r="C7" s="7" t="n">
        <v>2000000</v>
      </c>
      <c r="D7" s="8" t="s">
        <v>34</v>
      </c>
      <c r="E7" s="8" t="s">
        <v>35</v>
      </c>
      <c r="F7" s="8" t="s">
        <v>36</v>
      </c>
      <c r="G7" s="8" t="s">
        <v>15</v>
      </c>
      <c r="H7" s="8" t="s">
        <v>15</v>
      </c>
      <c r="I7" s="8" t="s">
        <v>37</v>
      </c>
    </row>
    <row r="8" customFormat="false" ht="46.25" hidden="false" customHeight="false" outlineLevel="0" collapsed="false">
      <c r="A8" s="3" t="s">
        <v>38</v>
      </c>
      <c r="B8" s="3" t="s">
        <v>39</v>
      </c>
      <c r="C8" s="4" t="n">
        <v>4000000</v>
      </c>
      <c r="D8" s="5" t="s">
        <v>40</v>
      </c>
      <c r="E8" s="5" t="s">
        <v>41</v>
      </c>
      <c r="F8" s="5" t="s">
        <v>42</v>
      </c>
      <c r="G8" s="5" t="s">
        <v>43</v>
      </c>
      <c r="H8" s="5" t="s">
        <v>44</v>
      </c>
      <c r="I8" s="5" t="s">
        <v>45</v>
      </c>
    </row>
    <row r="9" customFormat="false" ht="35.05" hidden="false" customHeight="false" outlineLevel="0" collapsed="false">
      <c r="A9" s="6" t="s">
        <v>46</v>
      </c>
      <c r="B9" s="6" t="s">
        <v>47</v>
      </c>
      <c r="C9" s="7" t="n">
        <v>30000000</v>
      </c>
      <c r="D9" s="8" t="s">
        <v>48</v>
      </c>
      <c r="E9" s="8" t="s">
        <v>49</v>
      </c>
      <c r="F9" s="8" t="s">
        <v>50</v>
      </c>
      <c r="G9" s="8" t="s">
        <v>51</v>
      </c>
      <c r="H9" s="8" t="s">
        <v>52</v>
      </c>
      <c r="I9" s="8" t="s">
        <v>53</v>
      </c>
    </row>
    <row r="10" customFormat="false" ht="35.05" hidden="false" customHeight="false" outlineLevel="0" collapsed="false">
      <c r="A10" s="3" t="s">
        <v>54</v>
      </c>
      <c r="B10" s="3" t="s">
        <v>55</v>
      </c>
      <c r="C10" s="4" t="n">
        <v>70000000</v>
      </c>
      <c r="D10" s="5" t="s">
        <v>56</v>
      </c>
      <c r="E10" s="5" t="s">
        <v>57</v>
      </c>
      <c r="F10" s="5" t="s">
        <v>58</v>
      </c>
      <c r="G10" s="5" t="s">
        <v>15</v>
      </c>
      <c r="H10" s="5" t="s">
        <v>59</v>
      </c>
      <c r="I10" s="5" t="s">
        <v>15</v>
      </c>
    </row>
    <row r="11" customFormat="false" ht="46.25" hidden="false" customHeight="false" outlineLevel="0" collapsed="false">
      <c r="A11" s="6" t="s">
        <v>60</v>
      </c>
      <c r="B11" s="6" t="s">
        <v>61</v>
      </c>
      <c r="C11" s="7" t="n">
        <v>100000000</v>
      </c>
      <c r="D11" s="8" t="s">
        <v>62</v>
      </c>
      <c r="E11" s="8" t="s">
        <v>63</v>
      </c>
      <c r="F11" s="8" t="s">
        <v>64</v>
      </c>
      <c r="G11" s="8" t="s">
        <v>15</v>
      </c>
      <c r="H11" s="8" t="s">
        <v>15</v>
      </c>
      <c r="I11" s="8" t="s">
        <v>15</v>
      </c>
    </row>
    <row r="12" customFormat="false" ht="46.25" hidden="false" customHeight="false" outlineLevel="0" collapsed="false">
      <c r="A12" s="3" t="s">
        <v>65</v>
      </c>
      <c r="B12" s="3" t="s">
        <v>66</v>
      </c>
      <c r="C12" s="4" t="n">
        <v>129000</v>
      </c>
      <c r="D12" s="5" t="s">
        <v>67</v>
      </c>
      <c r="E12" s="5" t="s">
        <v>68</v>
      </c>
      <c r="F12" s="5" t="s">
        <v>69</v>
      </c>
      <c r="G12" s="5" t="s">
        <v>70</v>
      </c>
      <c r="H12" s="5" t="s">
        <v>71</v>
      </c>
      <c r="I12" s="5" t="s">
        <v>15</v>
      </c>
    </row>
    <row r="13" customFormat="false" ht="35.05" hidden="false" customHeight="false" outlineLevel="0" collapsed="false">
      <c r="A13" s="6" t="s">
        <v>72</v>
      </c>
      <c r="B13" s="6" t="s">
        <v>73</v>
      </c>
      <c r="C13" s="7" t="n">
        <v>200000000</v>
      </c>
      <c r="D13" s="8" t="s">
        <v>74</v>
      </c>
      <c r="E13" s="8" t="s">
        <v>75</v>
      </c>
      <c r="F13" s="8" t="s">
        <v>76</v>
      </c>
      <c r="G13" s="8" t="s">
        <v>15</v>
      </c>
      <c r="H13" s="8" t="s">
        <v>77</v>
      </c>
      <c r="I13" s="8" t="s">
        <v>15</v>
      </c>
    </row>
    <row r="15" customFormat="false" ht="15" hidden="false" customHeight="false" outlineLevel="0" collapsed="false">
      <c r="A15" s="9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10" t="s">
        <v>79</v>
      </c>
    </row>
    <row r="3" customFormat="false" ht="15" hidden="false" customHeight="false" outlineLevel="0" collapsed="false">
      <c r="A3" s="11" t="s">
        <v>80</v>
      </c>
    </row>
    <row r="4" customFormat="false" ht="15" hidden="false" customHeight="false" outlineLevel="0" collapsed="false">
      <c r="A4" s="12" t="s">
        <v>81</v>
      </c>
      <c r="B4" s="13" t="n">
        <v>200</v>
      </c>
    </row>
    <row r="5" customFormat="false" ht="15" hidden="false" customHeight="false" outlineLevel="0" collapsed="false">
      <c r="A5" s="12" t="s">
        <v>82</v>
      </c>
      <c r="B5" s="14" t="n">
        <v>0.075</v>
      </c>
    </row>
    <row r="6" customFormat="false" ht="15" hidden="false" customHeight="false" outlineLevel="0" collapsed="false">
      <c r="A6" s="12" t="s">
        <v>83</v>
      </c>
      <c r="B6" s="14" t="n">
        <v>0.25</v>
      </c>
    </row>
    <row r="7" customFormat="false" ht="15" hidden="false" customHeight="false" outlineLevel="0" collapsed="false">
      <c r="A7" s="12" t="s">
        <v>84</v>
      </c>
      <c r="B7" s="14" t="n">
        <v>0.1</v>
      </c>
    </row>
    <row r="8" customFormat="false" ht="15" hidden="false" customHeight="false" outlineLevel="0" collapsed="false">
      <c r="A8" s="12" t="s">
        <v>85</v>
      </c>
      <c r="B8" s="14" t="n">
        <v>0.2</v>
      </c>
    </row>
    <row r="9" customFormat="false" ht="15" hidden="false" customHeight="false" outlineLevel="0" collapsed="false">
      <c r="A9" s="12" t="s">
        <v>86</v>
      </c>
      <c r="B9" s="14" t="n">
        <v>0.1</v>
      </c>
    </row>
    <row r="10" customFormat="false" ht="15" hidden="false" customHeight="false" outlineLevel="0" collapsed="false">
      <c r="A10" s="12" t="s">
        <v>87</v>
      </c>
      <c r="B10" s="15" t="n">
        <v>300000</v>
      </c>
    </row>
    <row r="12" customFormat="false" ht="15" hidden="false" customHeight="false" outlineLevel="0" collapsed="false">
      <c r="A12" s="11" t="s">
        <v>88</v>
      </c>
    </row>
    <row r="13" customFormat="false" ht="15" hidden="false" customHeight="false" outlineLevel="0" collapsed="false">
      <c r="A13" s="16" t="s">
        <v>89</v>
      </c>
      <c r="B13" s="16" t="s">
        <v>90</v>
      </c>
      <c r="C13" s="16" t="s">
        <v>3</v>
      </c>
      <c r="D13" s="16" t="s">
        <v>91</v>
      </c>
    </row>
    <row r="14" customFormat="false" ht="15" hidden="false" customHeight="false" outlineLevel="0" collapsed="false">
      <c r="A14" s="17" t="s">
        <v>92</v>
      </c>
      <c r="B14" s="18" t="n">
        <f aca="false">B4*B5</f>
        <v>15</v>
      </c>
      <c r="C14" s="19" t="n">
        <v>500000</v>
      </c>
      <c r="D14" s="19" t="n">
        <f aca="false">B14*C14</f>
        <v>7500000</v>
      </c>
    </row>
    <row r="15" customFormat="false" ht="15" hidden="false" customHeight="false" outlineLevel="0" collapsed="false">
      <c r="A15" s="17" t="s">
        <v>93</v>
      </c>
      <c r="B15" s="18" t="n">
        <f aca="false">B14*B6</f>
        <v>3.75</v>
      </c>
      <c r="C15" s="19" t="n">
        <v>2000000</v>
      </c>
      <c r="D15" s="19" t="n">
        <f aca="false">B15*C15</f>
        <v>7500000</v>
      </c>
    </row>
    <row r="16" customFormat="false" ht="15" hidden="false" customHeight="false" outlineLevel="0" collapsed="false">
      <c r="A16" s="17" t="s">
        <v>94</v>
      </c>
      <c r="B16" s="18" t="n">
        <f aca="false">B14*B7</f>
        <v>1.5</v>
      </c>
      <c r="C16" s="19" t="n">
        <v>4000000</v>
      </c>
      <c r="D16" s="19" t="n">
        <f aca="false">B16*C16</f>
        <v>6000000</v>
      </c>
    </row>
    <row r="17" customFormat="false" ht="15" hidden="false" customHeight="false" outlineLevel="0" collapsed="false">
      <c r="A17" s="17" t="s">
        <v>95</v>
      </c>
      <c r="B17" s="18" t="n">
        <f aca="false">(B14-B16)*B8</f>
        <v>2.7</v>
      </c>
      <c r="C17" s="19" t="n">
        <v>500000</v>
      </c>
      <c r="D17" s="19" t="n">
        <f aca="false">B17*C17</f>
        <v>1350000</v>
      </c>
    </row>
    <row r="18" customFormat="false" ht="15" hidden="false" customHeight="false" outlineLevel="0" collapsed="false">
      <c r="A18" s="17" t="s">
        <v>96</v>
      </c>
      <c r="B18" s="18" t="n">
        <f aca="false">B16*B9</f>
        <v>0.15</v>
      </c>
      <c r="C18" s="19" t="n">
        <v>30000000</v>
      </c>
      <c r="D18" s="19" t="n">
        <f aca="false">B18*C18</f>
        <v>4500000</v>
      </c>
    </row>
    <row r="19" customFormat="false" ht="15" hidden="false" customHeight="false" outlineLevel="0" collapsed="false">
      <c r="A19" s="20" t="s">
        <v>97</v>
      </c>
      <c r="B19" s="21"/>
      <c r="C19" s="21"/>
      <c r="D19" s="22" t="n">
        <f aca="false">SUM(D14:D18)</f>
        <v>26850000</v>
      </c>
    </row>
    <row r="20" customFormat="false" ht="15" hidden="false" customHeight="false" outlineLevel="0" collapsed="false">
      <c r="A20" s="17" t="s">
        <v>98</v>
      </c>
      <c r="B20" s="21"/>
      <c r="C20" s="21"/>
      <c r="D20" s="19" t="n">
        <f aca="false">B14*B10</f>
        <v>4500000</v>
      </c>
    </row>
    <row r="21" customFormat="false" ht="15" hidden="false" customHeight="false" outlineLevel="0" collapsed="false">
      <c r="A21" s="20" t="s">
        <v>99</v>
      </c>
      <c r="B21" s="21"/>
      <c r="C21" s="21"/>
      <c r="D21" s="23" t="n">
        <f aca="false">IF(D20=0,0,D19/D20)</f>
        <v>5.96666666666667</v>
      </c>
    </row>
    <row r="23" customFormat="false" ht="15" hidden="false" customHeight="false" outlineLevel="0" collapsed="false">
      <c r="A23" s="11" t="s">
        <v>100</v>
      </c>
    </row>
    <row r="24" customFormat="false" ht="15" hidden="false" customHeight="false" outlineLevel="0" collapsed="false">
      <c r="A24" s="12" t="s">
        <v>101</v>
      </c>
      <c r="B24" s="14" t="n">
        <v>0.03</v>
      </c>
    </row>
    <row r="25" customFormat="false" ht="15" hidden="false" customHeight="false" outlineLevel="0" collapsed="false">
      <c r="A25" s="12" t="s">
        <v>102</v>
      </c>
      <c r="B25" s="14" t="n">
        <v>0.6</v>
      </c>
    </row>
    <row r="26" customFormat="false" ht="15" hidden="false" customHeight="false" outlineLevel="0" collapsed="false">
      <c r="A26" s="12" t="s">
        <v>103</v>
      </c>
      <c r="B26" s="14" t="n">
        <v>0.3</v>
      </c>
    </row>
    <row r="27" customFormat="false" ht="15" hidden="false" customHeight="false" outlineLevel="0" collapsed="false">
      <c r="A27" s="12" t="s">
        <v>104</v>
      </c>
      <c r="B27" s="14" t="n">
        <v>0.1</v>
      </c>
    </row>
    <row r="28" customFormat="false" ht="15" hidden="false" customHeight="false" outlineLevel="0" collapsed="false">
      <c r="A28" s="12" t="s">
        <v>105</v>
      </c>
      <c r="B28" s="14" t="n">
        <v>0.08</v>
      </c>
    </row>
    <row r="30" customFormat="false" ht="15" hidden="false" customHeight="false" outlineLevel="0" collapsed="false">
      <c r="A30" s="17" t="s">
        <v>106</v>
      </c>
      <c r="B30" s="18" t="n">
        <f aca="false">B4*B24</f>
        <v>6</v>
      </c>
    </row>
    <row r="31" customFormat="false" ht="15" hidden="false" customHeight="false" outlineLevel="0" collapsed="false">
      <c r="A31" s="17" t="s">
        <v>107</v>
      </c>
      <c r="B31" s="18" t="n">
        <f aca="false">IF(B28=0,0,B30/B28)</f>
        <v>75</v>
      </c>
    </row>
    <row r="32" customFormat="false" ht="15" hidden="false" customHeight="false" outlineLevel="0" collapsed="false">
      <c r="A32" s="17" t="s">
        <v>108</v>
      </c>
      <c r="B32" s="19" t="n">
        <f aca="false">B25*129000+B26*299000+B27*499000</f>
        <v>217000</v>
      </c>
    </row>
    <row r="33" customFormat="false" ht="15" hidden="false" customHeight="false" outlineLevel="0" collapsed="false">
      <c r="A33" s="20" t="s">
        <v>109</v>
      </c>
      <c r="B33" s="22" t="n">
        <f aca="false">B31*B32</f>
        <v>16275000</v>
      </c>
    </row>
    <row r="35" customFormat="false" ht="15" hidden="false" customHeight="false" outlineLevel="0" collapsed="false">
      <c r="A35" s="9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2026-06-12T09:22:34Z</dcterms:created>
  <dc:creator>openpyxl</dc:creator>
  <dc:description/>
  <dc:language>en-US</dc:language>
  <cp:lastModifiedBy/>
  <dcterms:modified xsi:type="dcterms:W3CDTF">2026-06-12T09:22:34Z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